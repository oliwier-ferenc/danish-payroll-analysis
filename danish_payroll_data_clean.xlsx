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cc4d0ce77f8a14/Pulpit/Payroll_Project/"/>
    </mc:Choice>
  </mc:AlternateContent>
  <xr:revisionPtr revIDLastSave="388" documentId="11_5B832AA9AF77F3225EE56160072C61E795F25B9B" xr6:coauthVersionLast="47" xr6:coauthVersionMax="47" xr10:uidLastSave="{0DE357AA-313E-45F5-9DB9-82347822E8B8}"/>
  <bookViews>
    <workbookView xWindow="-110" yWindow="-110" windowWidth="22620" windowHeight="14220" activeTab="1" xr2:uid="{00000000-000D-0000-FFFF-FFFF00000000}"/>
  </bookViews>
  <sheets>
    <sheet name="1 - Payroll Trends" sheetId="5" r:id="rId1"/>
    <sheet name="2 - Payroll Indexed" sheetId="7" r:id="rId2"/>
    <sheet name="3 - 2024 Snapshot" sheetId="6" r:id="rId3"/>
    <sheet name="4 - Growth Rate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7" l="1"/>
  <c r="E6" i="7"/>
  <c r="F6" i="7"/>
  <c r="G6" i="7"/>
  <c r="H6" i="7"/>
  <c r="I6" i="7"/>
  <c r="J6" i="7"/>
  <c r="K6" i="7"/>
  <c r="L6" i="7"/>
  <c r="M6" i="7"/>
  <c r="D7" i="7"/>
  <c r="E7" i="7"/>
  <c r="F7" i="7"/>
  <c r="G7" i="7"/>
  <c r="H7" i="7"/>
  <c r="I7" i="7"/>
  <c r="J7" i="7"/>
  <c r="K7" i="7"/>
  <c r="L7" i="7"/>
  <c r="M7" i="7"/>
  <c r="D8" i="7"/>
  <c r="E8" i="7"/>
  <c r="F8" i="7"/>
  <c r="G8" i="7"/>
  <c r="H8" i="7"/>
  <c r="I8" i="7"/>
  <c r="J8" i="7"/>
  <c r="K8" i="7"/>
  <c r="L8" i="7"/>
  <c r="M8" i="7"/>
  <c r="D9" i="7"/>
  <c r="E9" i="7"/>
  <c r="F9" i="7"/>
  <c r="G9" i="7"/>
  <c r="H9" i="7"/>
  <c r="I9" i="7"/>
  <c r="J9" i="7"/>
  <c r="K9" i="7"/>
  <c r="L9" i="7"/>
  <c r="M9" i="7"/>
  <c r="D10" i="7"/>
  <c r="E10" i="7"/>
  <c r="F10" i="7"/>
  <c r="G10" i="7"/>
  <c r="H10" i="7"/>
  <c r="I10" i="7"/>
  <c r="J10" i="7"/>
  <c r="K10" i="7"/>
  <c r="L10" i="7"/>
  <c r="M10" i="7"/>
  <c r="D11" i="7"/>
  <c r="E11" i="7"/>
  <c r="F11" i="7"/>
  <c r="G11" i="7"/>
  <c r="H11" i="7"/>
  <c r="I11" i="7"/>
  <c r="J11" i="7"/>
  <c r="K11" i="7"/>
  <c r="L11" i="7"/>
  <c r="M11" i="7"/>
  <c r="D12" i="7"/>
  <c r="E12" i="7"/>
  <c r="F12" i="7"/>
  <c r="G12" i="7"/>
  <c r="H12" i="7"/>
  <c r="I12" i="7"/>
  <c r="J12" i="7"/>
  <c r="K12" i="7"/>
  <c r="L12" i="7"/>
  <c r="M12" i="7"/>
  <c r="D13" i="7"/>
  <c r="E13" i="7"/>
  <c r="F13" i="7"/>
  <c r="G13" i="7"/>
  <c r="H13" i="7"/>
  <c r="I13" i="7"/>
  <c r="J13" i="7"/>
  <c r="K13" i="7"/>
  <c r="L13" i="7"/>
  <c r="M13" i="7"/>
  <c r="C13" i="7"/>
  <c r="C12" i="7"/>
  <c r="C11" i="7"/>
  <c r="C10" i="7"/>
  <c r="C9" i="7"/>
  <c r="C8" i="7"/>
  <c r="C7" i="7"/>
  <c r="C6" i="7"/>
  <c r="C5" i="7"/>
  <c r="D5" i="7"/>
  <c r="E5" i="7"/>
  <c r="F5" i="7"/>
  <c r="G5" i="7"/>
  <c r="H5" i="7"/>
  <c r="I5" i="7"/>
  <c r="J5" i="7"/>
  <c r="K5" i="7"/>
  <c r="L5" i="7"/>
  <c r="M5" i="7"/>
  <c r="D4" i="7"/>
  <c r="E4" i="7"/>
  <c r="F4" i="7"/>
  <c r="C4" i="7"/>
  <c r="G4" i="7"/>
  <c r="H4" i="7"/>
  <c r="I4" i="7"/>
  <c r="J4" i="7"/>
  <c r="K4" i="7"/>
  <c r="L4" i="7"/>
  <c r="M4" i="7"/>
  <c r="B5" i="7"/>
  <c r="B6" i="7"/>
  <c r="B7" i="7"/>
  <c r="B8" i="7"/>
  <c r="B9" i="7"/>
  <c r="B10" i="7"/>
  <c r="B11" i="7"/>
  <c r="B12" i="7"/>
  <c r="B13" i="7"/>
  <c r="B4" i="7"/>
</calcChain>
</file>

<file path=xl/sharedStrings.xml><?xml version="1.0" encoding="utf-8"?>
<sst xmlns="http://schemas.openxmlformats.org/spreadsheetml/2006/main" count="115" uniqueCount="51">
  <si>
    <t>1 Agriculture, forestry and fishing</t>
  </si>
  <si>
    <t>10 Arts, entertainment and recration activities</t>
  </si>
  <si>
    <t>2 Manufacturing, mining and quarrying, and utility services</t>
  </si>
  <si>
    <t>3 Construction</t>
  </si>
  <si>
    <t>4 Trade and transport etc.</t>
  </si>
  <si>
    <t>5 Information and communication</t>
  </si>
  <si>
    <t>6 Financial and insurance</t>
  </si>
  <si>
    <t>7 Real estate</t>
  </si>
  <si>
    <t>8 Other business services</t>
  </si>
  <si>
    <t>9 Public administration, education and health</t>
  </si>
  <si>
    <t>Annual Payroll Expenditure by Industry - Denmark 2013-2024 (DKK Billions)</t>
  </si>
  <si>
    <t>Industry Snapshot - Denmark 2024</t>
  </si>
  <si>
    <t>Average Annual Payroll Growth by Industry - 2013 to 2024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</si>
  <si>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</si>
  <si>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</si>
  <si>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</si>
  <si>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</si>
  <si>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</si>
  <si>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</si>
  <si>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</si>
  <si>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</si>
  <si>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</si>
  <si>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</si>
  <si>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</si>
  <si>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</si>
  <si>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Employees</t>
  </si>
  <si>
    <t>Total Payroll (DKK B)</t>
  </si>
  <si>
    <t>Hourly Wage (DKK)</t>
  </si>
  <si>
    <t>Industry</t>
  </si>
  <si>
    <t>Annual Growth (%)</t>
  </si>
  <si>
    <t>Ranked by hourly wage (highest to lowest) • Source: Danmarks Statistik</t>
  </si>
  <si>
    <t>Source: Danmarks Statistik (LONS40 x RAS300) • Calculated as: hourly wage × employees × 1,600 hrs</t>
  </si>
  <si>
    <t>Avg Annual Growth (%)</t>
  </si>
  <si>
    <t>Ranked highest to lowest • Source: Danmarks Statistik</t>
  </si>
  <si>
    <t>Industry (full)</t>
  </si>
  <si>
    <t>Short Label</t>
  </si>
  <si>
    <t>Agriculture</t>
  </si>
  <si>
    <t>Construction</t>
  </si>
  <si>
    <t>Manufacturing</t>
  </si>
  <si>
    <t>Info &amp; Comms</t>
  </si>
  <si>
    <t>Financial &amp; Insurance</t>
  </si>
  <si>
    <t>Real estate</t>
  </si>
  <si>
    <t>Business Services</t>
  </si>
  <si>
    <t>Public Sector</t>
  </si>
  <si>
    <t>Arts &amp; Entertainment</t>
  </si>
  <si>
    <t>Trade &amp; Transport</t>
  </si>
  <si>
    <t>Trade and Transport</t>
  </si>
  <si>
    <t>Real Estate</t>
  </si>
  <si>
    <r>
      <t xml:space="preserve">• Manufacturing highlighted </t>
    </r>
    <r>
      <rPr>
        <sz val="9"/>
        <color theme="1"/>
        <rFont val="Montserrat"/>
      </rPr>
      <t>—</t>
    </r>
    <r>
      <rPr>
        <i/>
        <sz val="9"/>
        <color theme="1"/>
        <rFont val="Montserrat"/>
      </rPr>
      <t xml:space="preserve"> fastest-growing sector at 7.82% average annual payroll growth</t>
    </r>
  </si>
  <si>
    <t>Source: Danmarks Statistik (LONS40 x RAS300) • All industries indexed to 100 in 2013 • Higher value = faster payroll growth</t>
  </si>
  <si>
    <t>Payroll Growth Index by Industry - Denmark 2013-2024, (2013 =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</si>
</sst>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%&quot;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ontserrat"/>
    </font>
    <font>
      <sz val="16"/>
      <color theme="1"/>
      <name val="Montserrat SemiBold"/>
    </font>
    <font>
      <sz val="10"/>
      <color theme="1"/>
      <name val="Montserrat Light"/>
    </font>
    <font>
      <b/>
      <sz val="11"/>
      <color theme="0"/>
      <name val="Montserrat"/>
    </font>
    <font>
      <i/>
      <sz val="9"/>
      <color theme="1"/>
      <name val="Montserrat Light"/>
    </font>
    <font>
      <i/>
      <sz val="9"/>
      <color theme="1"/>
      <name val="Montserrat"/>
    </font>
    <font>
      <sz val="9"/>
      <color theme="1"/>
      <name val="Montserrat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/>
    <xf numFmtId="2" fontId="0" fillId="0" borderId="1" xfId="0" applyNumberForma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4AEC4-8BD4-4F1A-87E8-06EF9FF839B1}">
  <dimension ref="A1:N15"/>
  <sheetViews>
    <sheetView showGridLines="0" workbookViewId="0">
      <selection activeCell="A2" sqref="A2"/>
    </sheetView>
  </sheetViews>
  <sheetFormatPr defaultRowHeight="14.5" x14ac:dyDescent="0.35"/>
  <cols>
    <col min="1" max="1" width="51.54296875" customWidth="1"/>
    <col min="2" max="2" width="30.1796875" customWidth="1"/>
    <col min="3" max="4" width="8.6328125" customWidth="1"/>
    <col min="5" max="5" width="8.7265625" customWidth="1"/>
    <col min="6" max="6" width="8.1796875" customWidth="1"/>
    <col min="7" max="7" width="8.26953125" customWidth="1"/>
    <col min="8" max="8" width="8.7265625" customWidth="1"/>
    <col min="9" max="9" width="8.54296875" customWidth="1"/>
    <col min="10" max="10" width="8.36328125" customWidth="1"/>
    <col min="11" max="11" width="8.81640625" customWidth="1"/>
    <col min="12" max="12" width="8.08984375" customWidth="1"/>
    <col min="13" max="13" width="8.1796875" customWidth="1"/>
    <col min="14" max="14" width="7.7265625" customWidth="1"/>
  </cols>
  <sheetData>
    <row r="1" spans="1:14" ht="26.5" x14ac:dyDescent="0.9">
      <c r="A1" s="3" t="s">
        <v>10</v>
      </c>
      <c r="B1" s="3"/>
    </row>
    <row r="2" spans="1:14" ht="17" x14ac:dyDescent="0.6">
      <c r="A2" s="4" t="s">
        <v>31</v>
      </c>
      <c r="B2" s="4"/>
    </row>
    <row r="3" spans="1:14" s="1" customFormat="1" ht="18.5" x14ac:dyDescent="0.65">
      <c r="A3" s="5" t="s">
        <v>34</v>
      </c>
      <c r="B3" s="5" t="s">
        <v>35</v>
      </c>
      <c r="C3" s="5" t="s">
        <v>24</v>
      </c>
      <c r="D3" s="5" t="s">
        <v>23</v>
      </c>
      <c r="E3" s="5" t="s">
        <v>22</v>
      </c>
      <c r="F3" s="5" t="s">
        <v>21</v>
      </c>
      <c r="G3" s="5" t="s">
        <v>20</v>
      </c>
      <c r="H3" s="5" t="s">
        <v>19</v>
      </c>
      <c r="I3" s="5" t="s">
        <v>18</v>
      </c>
      <c r="J3" s="5" t="s">
        <v>17</v>
      </c>
      <c r="K3" s="5" t="s">
        <v>16</v>
      </c>
      <c r="L3" s="5" t="s">
        <v>15</v>
      </c>
      <c r="M3" s="5" t="s">
        <v>14</v>
      </c>
      <c r="N3" s="5" t="s">
        <v>13</v>
      </c>
    </row>
    <row r="4" spans="1:14" x14ac:dyDescent="0.35">
      <c r="A4" s="6" t="s">
        <v>0</v>
      </c>
      <c r="B4" s="7" t="s">
        <v>36</v>
      </c>
      <c r="C4" s="7">
        <v>30.63</v>
      </c>
      <c r="D4" s="7">
        <v>30.64</v>
      </c>
      <c r="E4" s="7">
        <v>30.92</v>
      </c>
      <c r="F4" s="7">
        <v>31.77</v>
      </c>
      <c r="G4" s="7">
        <v>31.71</v>
      </c>
      <c r="H4" s="7">
        <v>34.03</v>
      </c>
      <c r="I4" s="7">
        <v>35.04</v>
      </c>
      <c r="J4" s="7">
        <v>34.76</v>
      </c>
      <c r="K4" s="7">
        <v>34.659999999999997</v>
      </c>
      <c r="L4" s="7">
        <v>37.119999999999997</v>
      </c>
      <c r="M4" s="7">
        <v>37.31</v>
      </c>
      <c r="N4" s="7">
        <v>38.17</v>
      </c>
    </row>
    <row r="5" spans="1:14" x14ac:dyDescent="0.35">
      <c r="A5" s="9" t="s">
        <v>2</v>
      </c>
      <c r="B5" s="10" t="s">
        <v>38</v>
      </c>
      <c r="C5" s="10">
        <v>149.53</v>
      </c>
      <c r="D5" s="10">
        <v>154.65</v>
      </c>
      <c r="E5" s="10">
        <v>157.83000000000001</v>
      </c>
      <c r="F5" s="10">
        <v>164.9</v>
      </c>
      <c r="G5" s="10">
        <v>170.77</v>
      </c>
      <c r="H5" s="10">
        <v>178.71</v>
      </c>
      <c r="I5" s="10">
        <v>185.61</v>
      </c>
      <c r="J5" s="10">
        <v>185.3</v>
      </c>
      <c r="K5" s="10">
        <v>198.2</v>
      </c>
      <c r="L5" s="10">
        <v>211.78</v>
      </c>
      <c r="M5" s="10">
        <v>228.83</v>
      </c>
      <c r="N5" s="10">
        <v>246.73</v>
      </c>
    </row>
    <row r="6" spans="1:14" x14ac:dyDescent="0.35">
      <c r="A6" s="6" t="s">
        <v>3</v>
      </c>
      <c r="B6" s="7" t="s">
        <v>37</v>
      </c>
      <c r="C6" s="7">
        <v>64.36</v>
      </c>
      <c r="D6" s="7">
        <v>67.400000000000006</v>
      </c>
      <c r="E6" s="7">
        <v>71.489999999999995</v>
      </c>
      <c r="F6" s="7">
        <v>74.48</v>
      </c>
      <c r="G6" s="7">
        <v>79.41</v>
      </c>
      <c r="H6" s="7">
        <v>84.68</v>
      </c>
      <c r="I6" s="7">
        <v>85.9</v>
      </c>
      <c r="J6" s="7">
        <v>89.77</v>
      </c>
      <c r="K6" s="7">
        <v>97.3</v>
      </c>
      <c r="L6" s="7">
        <v>100.99</v>
      </c>
      <c r="M6" s="7">
        <v>104.65</v>
      </c>
      <c r="N6" s="7">
        <v>111.08</v>
      </c>
    </row>
    <row r="7" spans="1:14" x14ac:dyDescent="0.35">
      <c r="A7" s="6" t="s">
        <v>4</v>
      </c>
      <c r="B7" s="7" t="s">
        <v>46</v>
      </c>
      <c r="C7" s="7">
        <v>276.89999999999998</v>
      </c>
      <c r="D7" s="7">
        <v>282.76</v>
      </c>
      <c r="E7" s="7">
        <v>292.22000000000003</v>
      </c>
      <c r="F7" s="7">
        <v>296.61</v>
      </c>
      <c r="G7" s="7">
        <v>306.94</v>
      </c>
      <c r="H7" s="7">
        <v>321.42</v>
      </c>
      <c r="I7" s="7">
        <v>331.19</v>
      </c>
      <c r="J7" s="7">
        <v>325.7</v>
      </c>
      <c r="K7" s="7">
        <v>349.38</v>
      </c>
      <c r="L7" s="7">
        <v>364.9</v>
      </c>
      <c r="M7" s="7">
        <v>379.14</v>
      </c>
      <c r="N7" s="7">
        <v>397.69</v>
      </c>
    </row>
    <row r="8" spans="1:14" x14ac:dyDescent="0.35">
      <c r="A8" s="6" t="s">
        <v>5</v>
      </c>
      <c r="B8" s="7" t="s">
        <v>39</v>
      </c>
      <c r="C8" s="7">
        <v>59</v>
      </c>
      <c r="D8" s="7">
        <v>60.3</v>
      </c>
      <c r="E8" s="7">
        <v>64.08</v>
      </c>
      <c r="F8" s="7">
        <v>65.66</v>
      </c>
      <c r="G8" s="7">
        <v>67.89</v>
      </c>
      <c r="H8" s="7">
        <v>71.489999999999995</v>
      </c>
      <c r="I8" s="7">
        <v>75.180000000000007</v>
      </c>
      <c r="J8" s="7">
        <v>76.349999999999994</v>
      </c>
      <c r="K8" s="7">
        <v>82.26</v>
      </c>
      <c r="L8" s="7">
        <v>87.44</v>
      </c>
      <c r="M8" s="7">
        <v>91.25</v>
      </c>
      <c r="N8" s="7">
        <v>94.33</v>
      </c>
    </row>
    <row r="9" spans="1:14" x14ac:dyDescent="0.35">
      <c r="A9" s="6" t="s">
        <v>6</v>
      </c>
      <c r="B9" s="7" t="s">
        <v>40</v>
      </c>
      <c r="C9" s="7">
        <v>50.75</v>
      </c>
      <c r="D9" s="7">
        <v>50.92</v>
      </c>
      <c r="E9" s="7">
        <v>52.09</v>
      </c>
      <c r="F9" s="7">
        <v>53.49</v>
      </c>
      <c r="G9" s="7">
        <v>56.35</v>
      </c>
      <c r="H9" s="7">
        <v>59.87</v>
      </c>
      <c r="I9" s="7">
        <v>62.08</v>
      </c>
      <c r="J9" s="7">
        <v>62.85</v>
      </c>
      <c r="K9" s="7">
        <v>64.709999999999994</v>
      </c>
      <c r="L9" s="7">
        <v>68.09</v>
      </c>
      <c r="M9" s="7">
        <v>72.930000000000007</v>
      </c>
      <c r="N9" s="7">
        <v>77.98</v>
      </c>
    </row>
    <row r="10" spans="1:14" x14ac:dyDescent="0.35">
      <c r="A10" s="6" t="s">
        <v>7</v>
      </c>
      <c r="B10" s="7" t="s">
        <v>41</v>
      </c>
      <c r="C10" s="7">
        <v>20</v>
      </c>
      <c r="D10" s="7">
        <v>20.68</v>
      </c>
      <c r="E10" s="7">
        <v>21.32</v>
      </c>
      <c r="F10" s="7">
        <v>21.92</v>
      </c>
      <c r="G10" s="7">
        <v>22.81</v>
      </c>
      <c r="H10" s="7">
        <v>23.98</v>
      </c>
      <c r="I10" s="7">
        <v>25.01</v>
      </c>
      <c r="J10" s="7">
        <v>25.51</v>
      </c>
      <c r="K10" s="7">
        <v>26.9</v>
      </c>
      <c r="L10" s="7">
        <v>27.55</v>
      </c>
      <c r="M10" s="7">
        <v>28.49</v>
      </c>
      <c r="N10" s="7">
        <v>30.39</v>
      </c>
    </row>
    <row r="11" spans="1:14" x14ac:dyDescent="0.35">
      <c r="A11" s="6" t="s">
        <v>8</v>
      </c>
      <c r="B11" s="7" t="s">
        <v>42</v>
      </c>
      <c r="C11" s="7">
        <v>138.52000000000001</v>
      </c>
      <c r="D11" s="7">
        <v>144.19</v>
      </c>
      <c r="E11" s="7">
        <v>150.76</v>
      </c>
      <c r="F11" s="7">
        <v>156.96</v>
      </c>
      <c r="G11" s="7">
        <v>164.32</v>
      </c>
      <c r="H11" s="7">
        <v>174.15</v>
      </c>
      <c r="I11" s="7">
        <v>176.32</v>
      </c>
      <c r="J11" s="7">
        <v>177.58</v>
      </c>
      <c r="K11" s="7">
        <v>191.81</v>
      </c>
      <c r="L11" s="7">
        <v>208.13</v>
      </c>
      <c r="M11" s="7">
        <v>222.68</v>
      </c>
      <c r="N11" s="7">
        <v>236.17</v>
      </c>
    </row>
    <row r="12" spans="1:14" x14ac:dyDescent="0.35">
      <c r="A12" s="6" t="s">
        <v>9</v>
      </c>
      <c r="B12" s="7" t="s">
        <v>43</v>
      </c>
      <c r="C12" s="7">
        <v>389.77</v>
      </c>
      <c r="D12" s="7">
        <v>395.58</v>
      </c>
      <c r="E12" s="7">
        <v>404.13</v>
      </c>
      <c r="F12" s="7">
        <v>410.83</v>
      </c>
      <c r="G12" s="7">
        <v>422.49</v>
      </c>
      <c r="H12" s="7">
        <v>437.04</v>
      </c>
      <c r="I12" s="7">
        <v>448.73</v>
      </c>
      <c r="J12" s="7">
        <v>470.32</v>
      </c>
      <c r="K12" s="7">
        <v>488.89</v>
      </c>
      <c r="L12" s="7">
        <v>513.5</v>
      </c>
      <c r="M12" s="7">
        <v>528.99</v>
      </c>
      <c r="N12" s="7">
        <v>557.99</v>
      </c>
    </row>
    <row r="13" spans="1:14" x14ac:dyDescent="0.35">
      <c r="A13" s="6" t="s">
        <v>1</v>
      </c>
      <c r="B13" s="7" t="s">
        <v>44</v>
      </c>
      <c r="C13" s="7">
        <v>58</v>
      </c>
      <c r="D13" s="7">
        <v>58.03</v>
      </c>
      <c r="E13" s="7">
        <v>58.28</v>
      </c>
      <c r="F13" s="7">
        <v>60.32</v>
      </c>
      <c r="G13" s="7">
        <v>62.93</v>
      </c>
      <c r="H13" s="7">
        <v>66.11</v>
      </c>
      <c r="I13" s="7">
        <v>68.400000000000006</v>
      </c>
      <c r="J13" s="7">
        <v>67.739999999999995</v>
      </c>
      <c r="K13" s="7">
        <v>70.760000000000005</v>
      </c>
      <c r="L13" s="7">
        <v>74.67</v>
      </c>
      <c r="M13" s="7">
        <v>78.86</v>
      </c>
      <c r="N13" s="7">
        <v>83.8</v>
      </c>
    </row>
    <row r="15" spans="1:14" ht="16.5" x14ac:dyDescent="0.55000000000000004">
      <c r="A15" s="18" t="s">
        <v>48</v>
      </c>
      <c r="B15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6EE67-8E8F-44F1-A6C7-E917D16094B4}">
  <dimension ref="A1:M13"/>
  <sheetViews>
    <sheetView tabSelected="1" workbookViewId="0">
      <selection activeCell="D23" sqref="D23"/>
    </sheetView>
  </sheetViews>
  <sheetFormatPr defaultRowHeight="14.5" x14ac:dyDescent="0.35"/>
  <cols>
    <col min="1" max="1" width="18.7265625" bestFit="1" customWidth="1"/>
    <col min="2" max="2" width="9.81640625" customWidth="1"/>
    <col min="3" max="3" width="10.453125" customWidth="1"/>
    <col min="4" max="4" width="10.26953125" customWidth="1"/>
    <col min="5" max="5" width="9.6328125" customWidth="1"/>
    <col min="6" max="6" width="10.54296875" customWidth="1"/>
    <col min="7" max="7" width="10.08984375" customWidth="1"/>
    <col min="8" max="8" width="9.08984375" customWidth="1"/>
    <col min="9" max="9" width="9.54296875" customWidth="1"/>
    <col min="10" max="10" width="9.08984375" customWidth="1"/>
    <col min="11" max="11" width="9.7265625" customWidth="1"/>
    <col min="12" max="12" width="8.7265625" customWidth="1"/>
    <col min="13" max="13" width="8.6328125" customWidth="1"/>
  </cols>
  <sheetData>
    <row r="1" spans="1:13" ht="26.5" x14ac:dyDescent="0.9">
      <c r="A1" s="3" t="s">
        <v>50</v>
      </c>
    </row>
    <row r="2" spans="1:13" ht="17" x14ac:dyDescent="0.6">
      <c r="A2" s="4" t="s">
        <v>49</v>
      </c>
    </row>
    <row r="3" spans="1:13" ht="18.5" x14ac:dyDescent="0.65">
      <c r="A3" s="5" t="s">
        <v>35</v>
      </c>
      <c r="B3" s="5" t="s">
        <v>24</v>
      </c>
      <c r="C3" s="5" t="s">
        <v>23</v>
      </c>
      <c r="D3" s="5" t="s">
        <v>22</v>
      </c>
      <c r="E3" s="5" t="s">
        <v>21</v>
      </c>
      <c r="F3" s="5" t="s">
        <v>20</v>
      </c>
      <c r="G3" s="5" t="s">
        <v>19</v>
      </c>
      <c r="H3" s="5" t="s">
        <v>18</v>
      </c>
      <c r="I3" s="5" t="s">
        <v>17</v>
      </c>
      <c r="J3" s="5" t="s">
        <v>16</v>
      </c>
      <c r="K3" s="5" t="s">
        <v>15</v>
      </c>
      <c r="L3" s="5" t="s">
        <v>14</v>
      </c>
      <c r="M3" s="5" t="s">
        <v>13</v>
      </c>
    </row>
    <row r="4" spans="1:13" x14ac:dyDescent="0.35">
      <c r="A4" s="7" t="s">
        <v>36</v>
      </c>
      <c r="B4" s="7">
        <f>100</f>
        <v>100</v>
      </c>
      <c r="C4" s="19">
        <f>'1 - Payroll Trends'!D4/'1 - Payroll Trends'!$C$4*100</f>
        <v>100.0326477309827</v>
      </c>
      <c r="D4" s="19">
        <f>'1 - Payroll Trends'!E4/'1 - Payroll Trends'!$C$4*100</f>
        <v>100.94678419849821</v>
      </c>
      <c r="E4" s="19">
        <f>'1 - Payroll Trends'!F4/'1 - Payroll Trends'!$C$4*100</f>
        <v>103.72184133202742</v>
      </c>
      <c r="F4" s="19">
        <f>'1 - Payroll Trends'!G4/'1 - Payroll Trends'!$C$4*100</f>
        <v>103.52595494613126</v>
      </c>
      <c r="G4" s="19">
        <f>'1 - Payroll Trends'!H4/'1 - Payroll Trends'!$C4*100</f>
        <v>111.10022853411689</v>
      </c>
      <c r="H4" s="19">
        <f>'1 - Payroll Trends'!I4/'1 - Payroll Trends'!$C4*100</f>
        <v>114.39764936336925</v>
      </c>
      <c r="I4" s="19">
        <f>'1 - Payroll Trends'!J4/'1 - Payroll Trends'!$C4*100</f>
        <v>113.48351289585375</v>
      </c>
      <c r="J4" s="19">
        <f>'1 - Payroll Trends'!K4/'1 - Payroll Trends'!$C4*100</f>
        <v>113.15703558602677</v>
      </c>
      <c r="K4" s="19">
        <f>'1 - Payroll Trends'!L4/'1 - Payroll Trends'!$C4*100</f>
        <v>121.18837740777015</v>
      </c>
      <c r="L4" s="19">
        <f>'1 - Payroll Trends'!M4/'1 - Payroll Trends'!$C4*100</f>
        <v>121.8086842964414</v>
      </c>
      <c r="M4" s="19">
        <f>'1 - Payroll Trends'!N4/'1 - Payroll Trends'!$C4*100</f>
        <v>124.61638916095332</v>
      </c>
    </row>
    <row r="5" spans="1:13" x14ac:dyDescent="0.35">
      <c r="A5" s="10" t="s">
        <v>38</v>
      </c>
      <c r="B5" s="10">
        <f>100</f>
        <v>100</v>
      </c>
      <c r="C5" s="20">
        <f>'1 - Payroll Trends'!D5/'1 - Payroll Trends'!C5*100</f>
        <v>103.42406206112487</v>
      </c>
      <c r="D5" s="20">
        <f>'1 - Payroll Trends'!E5/'1 - Payroll Trends'!$C$5*100</f>
        <v>105.55072560690164</v>
      </c>
      <c r="E5" s="20">
        <f>'1 - Payroll Trends'!F5/'1 - Payroll Trends'!$C$5*100</f>
        <v>110.27887380458772</v>
      </c>
      <c r="F5" s="20">
        <f>'1 - Payroll Trends'!G5/'1 - Payroll Trends'!$C$5*100</f>
        <v>114.20450745669766</v>
      </c>
      <c r="G5" s="20">
        <f>'1 - Payroll Trends'!H5/'1 - Payroll Trends'!$C$5*100</f>
        <v>119.51447869992644</v>
      </c>
      <c r="H5" s="20">
        <f>'1 - Payroll Trends'!I5/'1 - Payroll Trends'!$C$5*100</f>
        <v>124.12893733698924</v>
      </c>
      <c r="I5" s="20">
        <f>'1 - Payroll Trends'!J5/'1 - Payroll Trends'!$C$5*100</f>
        <v>123.92162107938208</v>
      </c>
      <c r="J5" s="20">
        <f>'1 - Payroll Trends'!K5/'1 - Payroll Trends'!$C$5*100</f>
        <v>132.54865244432554</v>
      </c>
      <c r="K5" s="20">
        <f>'1 - Payroll Trends'!L5/'1 - Payroll Trends'!$C$5*100</f>
        <v>141.63044205176217</v>
      </c>
      <c r="L5" s="20">
        <f>'1 - Payroll Trends'!M5/'1 - Payroll Trends'!$C$5*100</f>
        <v>153.0328362201565</v>
      </c>
      <c r="M5" s="20">
        <f>'1 - Payroll Trends'!N5/'1 - Payroll Trends'!$C$5*100</f>
        <v>165.00367819166721</v>
      </c>
    </row>
    <row r="6" spans="1:13" x14ac:dyDescent="0.35">
      <c r="A6" s="7" t="s">
        <v>37</v>
      </c>
      <c r="B6" s="7">
        <f>100</f>
        <v>100</v>
      </c>
      <c r="C6" s="19">
        <f>'1 - Payroll Trends'!D6/'1 - Payroll Trends'!$C$6*100</f>
        <v>104.72343070229957</v>
      </c>
      <c r="D6" s="19">
        <f>'1 - Payroll Trends'!E6/'1 - Payroll Trends'!$C$6*100</f>
        <v>111.0783095090118</v>
      </c>
      <c r="E6" s="19">
        <f>'1 - Payroll Trends'!F6/'1 - Payroll Trends'!$C$6*100</f>
        <v>115.72405220633935</v>
      </c>
      <c r="F6" s="19">
        <f>'1 - Payroll Trends'!G6/'1 - Payroll Trends'!$C$6*100</f>
        <v>123.38408949658172</v>
      </c>
      <c r="G6" s="19">
        <f>'1 - Payroll Trends'!H6/'1 - Payroll Trends'!$C$6*100</f>
        <v>131.57240522063393</v>
      </c>
      <c r="H6" s="19">
        <f>'1 - Payroll Trends'!I6/'1 - Payroll Trends'!$C$6*100</f>
        <v>133.46799254195153</v>
      </c>
      <c r="I6" s="19">
        <f>'1 - Payroll Trends'!J6/'1 - Payroll Trends'!$C$6*100</f>
        <v>139.4810441267868</v>
      </c>
      <c r="J6" s="19">
        <f>'1 - Payroll Trends'!K6/'1 - Payroll Trends'!$C$6*100</f>
        <v>151.18085767557488</v>
      </c>
      <c r="K6" s="19">
        <f>'1 - Payroll Trends'!L6/'1 - Payroll Trends'!$C$6*100</f>
        <v>156.91423244251087</v>
      </c>
      <c r="L6" s="19">
        <f>'1 - Payroll Trends'!M6/'1 - Payroll Trends'!$C$6*100</f>
        <v>162.60099440646366</v>
      </c>
      <c r="M6" s="19">
        <f>'1 - Payroll Trends'!N6/'1 - Payroll Trends'!$C$6*100</f>
        <v>172.59167184586698</v>
      </c>
    </row>
    <row r="7" spans="1:13" x14ac:dyDescent="0.35">
      <c r="A7" s="7" t="s">
        <v>46</v>
      </c>
      <c r="B7" s="7">
        <f>100</f>
        <v>100</v>
      </c>
      <c r="C7" s="19">
        <f>'1 - Payroll Trends'!D7/'1 - Payroll Trends'!$C$7*100</f>
        <v>102.11628746840016</v>
      </c>
      <c r="D7" s="19">
        <f>'1 - Payroll Trends'!E7/'1 - Payroll Trends'!$C$7*100</f>
        <v>105.53268327916217</v>
      </c>
      <c r="E7" s="19">
        <f>'1 - Payroll Trends'!F7/'1 - Payroll Trends'!$C$7*100</f>
        <v>107.11809317443122</v>
      </c>
      <c r="F7" s="19">
        <f>'1 - Payroll Trends'!G7/'1 - Payroll Trends'!$C$7*100</f>
        <v>110.84868183459733</v>
      </c>
      <c r="G7" s="19">
        <f>'1 - Payroll Trends'!H7/'1 - Payroll Trends'!$C$7*100</f>
        <v>116.07800650054172</v>
      </c>
      <c r="H7" s="19">
        <f>'1 - Payroll Trends'!I7/'1 - Payroll Trends'!$C$7*100</f>
        <v>119.60635608522934</v>
      </c>
      <c r="I7" s="19">
        <f>'1 - Payroll Trends'!J7/'1 - Payroll Trends'!$C$7*100</f>
        <v>117.62369086312749</v>
      </c>
      <c r="J7" s="19">
        <f>'1 - Payroll Trends'!K7/'1 - Payroll Trends'!$C$7*100</f>
        <v>126.17551462621886</v>
      </c>
      <c r="K7" s="19">
        <f>'1 - Payroll Trends'!L7/'1 - Payroll Trends'!$C$7*100</f>
        <v>131.78042614662334</v>
      </c>
      <c r="L7" s="19">
        <f>'1 - Payroll Trends'!M7/'1 - Payroll Trends'!$C$7*100</f>
        <v>136.92307692307693</v>
      </c>
      <c r="M7" s="19">
        <f>'1 - Payroll Trends'!N7/'1 - Payroll Trends'!$C$7*100</f>
        <v>143.62224629830266</v>
      </c>
    </row>
    <row r="8" spans="1:13" x14ac:dyDescent="0.35">
      <c r="A8" s="7" t="s">
        <v>39</v>
      </c>
      <c r="B8" s="7">
        <f>100</f>
        <v>100</v>
      </c>
      <c r="C8" s="19">
        <f>'1 - Payroll Trends'!D8/'1 - Payroll Trends'!$C$8*100</f>
        <v>102.20338983050847</v>
      </c>
      <c r="D8" s="19">
        <f>'1 - Payroll Trends'!E8/'1 - Payroll Trends'!$C$8*100</f>
        <v>108.61016949152543</v>
      </c>
      <c r="E8" s="19">
        <f>'1 - Payroll Trends'!F8/'1 - Payroll Trends'!$C$8*100</f>
        <v>111.28813559322033</v>
      </c>
      <c r="F8" s="19">
        <f>'1 - Payroll Trends'!G8/'1 - Payroll Trends'!$C$8*100</f>
        <v>115.06779661016948</v>
      </c>
      <c r="G8" s="19">
        <f>'1 - Payroll Trends'!H8/'1 - Payroll Trends'!$C$8*100</f>
        <v>121.16949152542371</v>
      </c>
      <c r="H8" s="19">
        <f>'1 - Payroll Trends'!I8/'1 - Payroll Trends'!$C$8*100</f>
        <v>127.42372881355932</v>
      </c>
      <c r="I8" s="19">
        <f>'1 - Payroll Trends'!J8/'1 - Payroll Trends'!$C$8*100</f>
        <v>129.40677966101694</v>
      </c>
      <c r="J8" s="19">
        <f>'1 - Payroll Trends'!K8/'1 - Payroll Trends'!$C$8*100</f>
        <v>139.42372881355934</v>
      </c>
      <c r="K8" s="19">
        <f>'1 - Payroll Trends'!L8/'1 - Payroll Trends'!$C$8*100</f>
        <v>148.20338983050846</v>
      </c>
      <c r="L8" s="19">
        <f>'1 - Payroll Trends'!M8/'1 - Payroll Trends'!$C$8*100</f>
        <v>154.66101694915255</v>
      </c>
      <c r="M8" s="19">
        <f>'1 - Payroll Trends'!N8/'1 - Payroll Trends'!$C$8*100</f>
        <v>159.88135593220338</v>
      </c>
    </row>
    <row r="9" spans="1:13" x14ac:dyDescent="0.35">
      <c r="A9" s="7" t="s">
        <v>40</v>
      </c>
      <c r="B9" s="7">
        <f>100</f>
        <v>100</v>
      </c>
      <c r="C9" s="19">
        <f>'1 - Payroll Trends'!D9/'1 - Payroll Trends'!$C$9*100</f>
        <v>100.33497536945812</v>
      </c>
      <c r="D9" s="19">
        <f>'1 - Payroll Trends'!E9/'1 - Payroll Trends'!$C$9*100</f>
        <v>102.64039408866996</v>
      </c>
      <c r="E9" s="19">
        <f>'1 - Payroll Trends'!F9/'1 - Payroll Trends'!$C$9*100</f>
        <v>105.39901477832512</v>
      </c>
      <c r="F9" s="19">
        <f>'1 - Payroll Trends'!G9/'1 - Payroll Trends'!$C$9*100</f>
        <v>111.03448275862068</v>
      </c>
      <c r="G9" s="19">
        <f>'1 - Payroll Trends'!H9/'1 - Payroll Trends'!$C$9*100</f>
        <v>117.97044334975368</v>
      </c>
      <c r="H9" s="19">
        <f>'1 - Payroll Trends'!I9/'1 - Payroll Trends'!$C$9*100</f>
        <v>122.32512315270935</v>
      </c>
      <c r="I9" s="19">
        <f>'1 - Payroll Trends'!J9/'1 - Payroll Trends'!$C$9*100</f>
        <v>123.84236453201972</v>
      </c>
      <c r="J9" s="19">
        <f>'1 - Payroll Trends'!K9/'1 - Payroll Trends'!$C$9*100</f>
        <v>127.50738916256157</v>
      </c>
      <c r="K9" s="19">
        <f>'1 - Payroll Trends'!L9/'1 - Payroll Trends'!$C$9*100</f>
        <v>134.16748768472908</v>
      </c>
      <c r="L9" s="19">
        <f>'1 - Payroll Trends'!M9/'1 - Payroll Trends'!$C$9*100</f>
        <v>143.70443349753697</v>
      </c>
      <c r="M9" s="19">
        <f>'1 - Payroll Trends'!N9/'1 - Payroll Trends'!$C$9*100</f>
        <v>153.65517241379311</v>
      </c>
    </row>
    <row r="10" spans="1:13" x14ac:dyDescent="0.35">
      <c r="A10" s="7" t="s">
        <v>41</v>
      </c>
      <c r="B10" s="7">
        <f>100</f>
        <v>100</v>
      </c>
      <c r="C10" s="19">
        <f>'1 - Payroll Trends'!D10/'1 - Payroll Trends'!$C$10*100</f>
        <v>103.4</v>
      </c>
      <c r="D10" s="19">
        <f>'1 - Payroll Trends'!E10/'1 - Payroll Trends'!$C$10*100</f>
        <v>106.60000000000001</v>
      </c>
      <c r="E10" s="19">
        <f>'1 - Payroll Trends'!F10/'1 - Payroll Trends'!$C$10*100</f>
        <v>109.60000000000001</v>
      </c>
      <c r="F10" s="19">
        <f>'1 - Payroll Trends'!G10/'1 - Payroll Trends'!$C$10*100</f>
        <v>114.04999999999998</v>
      </c>
      <c r="G10" s="19">
        <f>'1 - Payroll Trends'!H10/'1 - Payroll Trends'!$C$10*100</f>
        <v>119.9</v>
      </c>
      <c r="H10" s="19">
        <f>'1 - Payroll Trends'!I10/'1 - Payroll Trends'!$C$10*100</f>
        <v>125.05000000000001</v>
      </c>
      <c r="I10" s="19">
        <f>'1 - Payroll Trends'!J10/'1 - Payroll Trends'!$C$10*100</f>
        <v>127.55000000000001</v>
      </c>
      <c r="J10" s="19">
        <f>'1 - Payroll Trends'!K10/'1 - Payroll Trends'!$C$10*100</f>
        <v>134.5</v>
      </c>
      <c r="K10" s="19">
        <f>'1 - Payroll Trends'!L10/'1 - Payroll Trends'!$C$10*100</f>
        <v>137.75</v>
      </c>
      <c r="L10" s="19">
        <f>'1 - Payroll Trends'!M10/'1 - Payroll Trends'!$C$10*100</f>
        <v>142.44999999999999</v>
      </c>
      <c r="M10" s="19">
        <f>'1 - Payroll Trends'!N10/'1 - Payroll Trends'!$C$10*100</f>
        <v>151.95000000000002</v>
      </c>
    </row>
    <row r="11" spans="1:13" x14ac:dyDescent="0.35">
      <c r="A11" s="7" t="s">
        <v>42</v>
      </c>
      <c r="B11" s="7">
        <f>100</f>
        <v>100</v>
      </c>
      <c r="C11" s="19">
        <f>'1 - Payroll Trends'!D11/'1 - Payroll Trends'!$C$11*100</f>
        <v>104.09327172971412</v>
      </c>
      <c r="D11" s="19">
        <f>'1 - Payroll Trends'!E11/'1 - Payroll Trends'!$C$11*100</f>
        <v>108.83626913081142</v>
      </c>
      <c r="E11" s="19">
        <f>'1 - Payroll Trends'!F11/'1 - Payroll Trends'!$C$11*100</f>
        <v>113.31215708922899</v>
      </c>
      <c r="F11" s="19">
        <f>'1 - Payroll Trends'!G11/'1 - Payroll Trends'!$C$11*100</f>
        <v>118.6254692463182</v>
      </c>
      <c r="G11" s="19">
        <f>'1 - Payroll Trends'!H11/'1 - Payroll Trends'!$C$11*100</f>
        <v>125.721917412648</v>
      </c>
      <c r="H11" s="19">
        <f>'1 - Payroll Trends'!I11/'1 - Payroll Trends'!$C$11*100</f>
        <v>127.28847819809413</v>
      </c>
      <c r="I11" s="19">
        <f>'1 - Payroll Trends'!J11/'1 - Payroll Trends'!$C$11*100</f>
        <v>128.1980941380306</v>
      </c>
      <c r="J11" s="19">
        <f>'1 - Payroll Trends'!K11/'1 - Payroll Trends'!$C$11*100</f>
        <v>138.47097892001153</v>
      </c>
      <c r="K11" s="19">
        <f>'1 - Payroll Trends'!L11/'1 - Payroll Trends'!$C$11*100</f>
        <v>150.2526710944268</v>
      </c>
      <c r="L11" s="19">
        <f>'1 - Payroll Trends'!M11/'1 - Payroll Trends'!$C$11*100</f>
        <v>160.75656944845508</v>
      </c>
      <c r="M11" s="19">
        <f>'1 - Payroll Trends'!N11/'1 - Payroll Trends'!$C$11*100</f>
        <v>170.49523534507651</v>
      </c>
    </row>
    <row r="12" spans="1:13" x14ac:dyDescent="0.35">
      <c r="A12" s="7" t="s">
        <v>43</v>
      </c>
      <c r="B12" s="7">
        <f>100</f>
        <v>100</v>
      </c>
      <c r="C12" s="19">
        <f>'1 - Payroll Trends'!D12/'1 - Payroll Trends'!$C$12*100</f>
        <v>101.49062267491085</v>
      </c>
      <c r="D12" s="19">
        <f>'1 - Payroll Trends'!E12/'1 - Payroll Trends'!$C$12*100</f>
        <v>103.68422402955591</v>
      </c>
      <c r="E12" s="19">
        <f>'1 - Payroll Trends'!F12/'1 - Payroll Trends'!$C$12*100</f>
        <v>105.40318649459938</v>
      </c>
      <c r="F12" s="19">
        <f>'1 - Payroll Trends'!G12/'1 - Payroll Trends'!$C$12*100</f>
        <v>108.39469430689894</v>
      </c>
      <c r="G12" s="19">
        <f>'1 - Payroll Trends'!H12/'1 - Payroll Trends'!$C$12*100</f>
        <v>112.12766503322473</v>
      </c>
      <c r="H12" s="19">
        <f>'1 - Payroll Trends'!I12/'1 - Payroll Trends'!$C$12*100</f>
        <v>115.12686969238271</v>
      </c>
      <c r="I12" s="19">
        <f>'1 - Payroll Trends'!J12/'1 - Payroll Trends'!$C$12*100</f>
        <v>120.66603381481387</v>
      </c>
      <c r="J12" s="19">
        <f>'1 - Payroll Trends'!K12/'1 - Payroll Trends'!$C$12*100</f>
        <v>125.43038202016574</v>
      </c>
      <c r="K12" s="19">
        <f>'1 - Payroll Trends'!L12/'1 - Payroll Trends'!$C$12*100</f>
        <v>131.74436205967623</v>
      </c>
      <c r="L12" s="19">
        <f>'1 - Payroll Trends'!M12/'1 - Payroll Trends'!$C$12*100</f>
        <v>135.718500654232</v>
      </c>
      <c r="M12" s="19">
        <f>'1 - Payroll Trends'!N12/'1 - Payroll Trends'!$C$12*100</f>
        <v>143.15878595068887</v>
      </c>
    </row>
    <row r="13" spans="1:13" x14ac:dyDescent="0.35">
      <c r="A13" s="7" t="s">
        <v>44</v>
      </c>
      <c r="B13" s="7">
        <f>100</f>
        <v>100</v>
      </c>
      <c r="C13" s="19">
        <f>'1 - Payroll Trends'!D13/'1 - Payroll Trends'!$C$13*100</f>
        <v>100.05172413793105</v>
      </c>
      <c r="D13" s="19">
        <f>'1 - Payroll Trends'!E13/'1 - Payroll Trends'!$C$13*100</f>
        <v>100.48275862068965</v>
      </c>
      <c r="E13" s="19">
        <f>'1 - Payroll Trends'!F13/'1 - Payroll Trends'!$C$13*100</f>
        <v>104</v>
      </c>
      <c r="F13" s="19">
        <f>'1 - Payroll Trends'!G13/'1 - Payroll Trends'!$C$13*100</f>
        <v>108.5</v>
      </c>
      <c r="G13" s="19">
        <f>'1 - Payroll Trends'!H13/'1 - Payroll Trends'!$C$13*100</f>
        <v>113.98275862068965</v>
      </c>
      <c r="H13" s="19">
        <f>'1 - Payroll Trends'!I13/'1 - Payroll Trends'!$C$13*100</f>
        <v>117.93103448275863</v>
      </c>
      <c r="I13" s="19">
        <f>'1 - Payroll Trends'!J13/'1 - Payroll Trends'!$C$13*100</f>
        <v>116.79310344827584</v>
      </c>
      <c r="J13" s="19">
        <f>'1 - Payroll Trends'!K13/'1 - Payroll Trends'!$C$13*100</f>
        <v>122.00000000000001</v>
      </c>
      <c r="K13" s="19">
        <f>'1 - Payroll Trends'!L13/'1 - Payroll Trends'!$C$13*100</f>
        <v>128.74137931034483</v>
      </c>
      <c r="L13" s="19">
        <f>'1 - Payroll Trends'!M13/'1 - Payroll Trends'!$C$13*100</f>
        <v>135.9655172413793</v>
      </c>
      <c r="M13" s="19">
        <f>'1 - Payroll Trends'!N13/'1 - Payroll Trends'!$C$13*100</f>
        <v>144.48275862068965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825A-1D2C-4E32-A8F7-563D9D802D03}">
  <dimension ref="A1:I22"/>
  <sheetViews>
    <sheetView showGridLines="0" workbookViewId="0">
      <selection activeCell="A23" sqref="A23"/>
    </sheetView>
  </sheetViews>
  <sheetFormatPr defaultRowHeight="14.5" x14ac:dyDescent="0.35"/>
  <cols>
    <col min="1" max="1" width="67.54296875" customWidth="1"/>
    <col min="2" max="2" width="30.90625" customWidth="1"/>
    <col min="3" max="3" width="22.81640625" customWidth="1"/>
    <col min="4" max="4" width="14" customWidth="1"/>
    <col min="5" max="5" width="24.6328125" customWidth="1"/>
    <col min="6" max="6" width="22.7265625" customWidth="1"/>
  </cols>
  <sheetData>
    <row r="1" spans="1:6" ht="26.5" x14ac:dyDescent="0.9">
      <c r="A1" s="3" t="s">
        <v>11</v>
      </c>
      <c r="B1" s="3"/>
    </row>
    <row r="2" spans="1:6" ht="17" x14ac:dyDescent="0.6">
      <c r="A2" s="4" t="s">
        <v>30</v>
      </c>
      <c r="B2" s="4"/>
    </row>
    <row r="3" spans="1:6" s="1" customFormat="1" ht="18.5" x14ac:dyDescent="0.65">
      <c r="A3" s="5" t="s">
        <v>28</v>
      </c>
      <c r="B3" s="5" t="s">
        <v>35</v>
      </c>
      <c r="C3" s="5" t="s">
        <v>27</v>
      </c>
      <c r="D3" s="5" t="s">
        <v>25</v>
      </c>
      <c r="E3" s="5" t="s">
        <v>26</v>
      </c>
      <c r="F3" s="5" t="s">
        <v>29</v>
      </c>
    </row>
    <row r="4" spans="1:6" x14ac:dyDescent="0.35">
      <c r="A4" s="6" t="s">
        <v>6</v>
      </c>
      <c r="B4" s="7" t="s">
        <v>40</v>
      </c>
      <c r="C4" s="7">
        <v>539</v>
      </c>
      <c r="D4" s="15">
        <v>90420</v>
      </c>
      <c r="E4" s="7">
        <v>77.98</v>
      </c>
      <c r="F4" s="16">
        <v>6.93</v>
      </c>
    </row>
    <row r="5" spans="1:6" x14ac:dyDescent="0.35">
      <c r="A5" s="6" t="s">
        <v>5</v>
      </c>
      <c r="B5" s="17" t="s">
        <v>39</v>
      </c>
      <c r="C5" s="7">
        <v>457</v>
      </c>
      <c r="D5" s="15">
        <v>129007</v>
      </c>
      <c r="E5" s="7">
        <v>94.33</v>
      </c>
      <c r="F5" s="16">
        <v>3.38</v>
      </c>
    </row>
    <row r="6" spans="1:6" x14ac:dyDescent="0.35">
      <c r="A6" s="9" t="s">
        <v>2</v>
      </c>
      <c r="B6" s="10" t="s">
        <v>38</v>
      </c>
      <c r="C6" s="10">
        <v>417</v>
      </c>
      <c r="D6" s="11">
        <v>369716</v>
      </c>
      <c r="E6" s="10">
        <v>246.73</v>
      </c>
      <c r="F6" s="12">
        <v>7.82</v>
      </c>
    </row>
    <row r="7" spans="1:6" x14ac:dyDescent="0.35">
      <c r="A7" s="6" t="s">
        <v>8</v>
      </c>
      <c r="B7" s="7" t="s">
        <v>42</v>
      </c>
      <c r="C7" s="7">
        <v>391</v>
      </c>
      <c r="D7" s="15">
        <v>377824</v>
      </c>
      <c r="E7" s="7">
        <v>236.17</v>
      </c>
      <c r="F7" s="16">
        <v>6.06</v>
      </c>
    </row>
    <row r="8" spans="1:6" x14ac:dyDescent="0.35">
      <c r="A8" s="6" t="s">
        <v>7</v>
      </c>
      <c r="B8" s="7" t="s">
        <v>41</v>
      </c>
      <c r="C8" s="7">
        <v>371</v>
      </c>
      <c r="D8" s="15">
        <v>51153</v>
      </c>
      <c r="E8" s="7">
        <v>30.39</v>
      </c>
      <c r="F8" s="16">
        <v>6.68</v>
      </c>
    </row>
    <row r="9" spans="1:6" x14ac:dyDescent="0.35">
      <c r="A9" s="6" t="s">
        <v>9</v>
      </c>
      <c r="B9" s="7" t="s">
        <v>43</v>
      </c>
      <c r="C9" s="7">
        <v>361</v>
      </c>
      <c r="D9" s="15">
        <v>966716</v>
      </c>
      <c r="E9" s="7">
        <v>557.99</v>
      </c>
      <c r="F9" s="16">
        <v>5.48</v>
      </c>
    </row>
    <row r="10" spans="1:6" x14ac:dyDescent="0.35">
      <c r="A10" s="6" t="s">
        <v>0</v>
      </c>
      <c r="B10" s="7" t="s">
        <v>36</v>
      </c>
      <c r="C10" s="7">
        <v>360</v>
      </c>
      <c r="D10" s="15">
        <v>66344</v>
      </c>
      <c r="E10" s="7">
        <v>38.17</v>
      </c>
      <c r="F10" s="16">
        <v>2.3199999999999998</v>
      </c>
    </row>
    <row r="11" spans="1:6" x14ac:dyDescent="0.35">
      <c r="A11" s="6" t="s">
        <v>3</v>
      </c>
      <c r="B11" s="7" t="s">
        <v>37</v>
      </c>
      <c r="C11" s="7">
        <v>360</v>
      </c>
      <c r="D11" s="15">
        <v>192756</v>
      </c>
      <c r="E11" s="7">
        <v>111.08</v>
      </c>
      <c r="F11" s="16">
        <v>6.15</v>
      </c>
    </row>
    <row r="12" spans="1:6" x14ac:dyDescent="0.35">
      <c r="A12" s="6" t="s">
        <v>1</v>
      </c>
      <c r="B12" s="7" t="s">
        <v>44</v>
      </c>
      <c r="C12" s="7">
        <v>359</v>
      </c>
      <c r="D12" s="15">
        <v>146058</v>
      </c>
      <c r="E12" s="7">
        <v>83.8</v>
      </c>
      <c r="F12" s="16">
        <v>6.26</v>
      </c>
    </row>
    <row r="13" spans="1:6" x14ac:dyDescent="0.35">
      <c r="A13" s="6" t="s">
        <v>4</v>
      </c>
      <c r="B13" s="7" t="s">
        <v>45</v>
      </c>
      <c r="C13" s="7">
        <v>334</v>
      </c>
      <c r="D13" s="15">
        <v>743181</v>
      </c>
      <c r="E13" s="7">
        <v>397.69</v>
      </c>
      <c r="F13" s="16">
        <v>4.8899999999999997</v>
      </c>
    </row>
    <row r="22" spans="9:9" ht="18.5" x14ac:dyDescent="0.65">
      <c r="I2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>
      <selection activeCell="B19" sqref="B19"/>
    </sheetView>
  </sheetViews>
  <sheetFormatPr defaultRowHeight="14.5" x14ac:dyDescent="0.35"/>
  <cols>
    <col min="1" max="1" width="51.36328125" customWidth="1"/>
    <col min="2" max="2" width="26" customWidth="1"/>
    <col min="3" max="3" width="27" customWidth="1"/>
  </cols>
  <sheetData>
    <row r="1" spans="1:3" ht="26.5" x14ac:dyDescent="0.9">
      <c r="A1" s="3" t="s">
        <v>12</v>
      </c>
      <c r="B1" s="3"/>
    </row>
    <row r="2" spans="1:3" ht="17" x14ac:dyDescent="0.6">
      <c r="A2" s="4" t="s">
        <v>33</v>
      </c>
      <c r="B2" s="4"/>
    </row>
    <row r="3" spans="1:3" s="1" customFormat="1" ht="18.5" x14ac:dyDescent="0.65">
      <c r="A3" s="5" t="s">
        <v>28</v>
      </c>
      <c r="B3" s="5" t="s">
        <v>35</v>
      </c>
      <c r="C3" s="5" t="s">
        <v>32</v>
      </c>
    </row>
    <row r="4" spans="1:3" x14ac:dyDescent="0.35">
      <c r="A4" s="6" t="s">
        <v>3</v>
      </c>
      <c r="B4" s="7" t="s">
        <v>37</v>
      </c>
      <c r="C4" s="13">
        <v>5.0999999999999997E-2</v>
      </c>
    </row>
    <row r="5" spans="1:3" x14ac:dyDescent="0.35">
      <c r="A5" s="6" t="s">
        <v>8</v>
      </c>
      <c r="B5" s="7" t="s">
        <v>42</v>
      </c>
      <c r="C5" s="13">
        <v>0.05</v>
      </c>
    </row>
    <row r="6" spans="1:3" x14ac:dyDescent="0.35">
      <c r="A6" s="9" t="s">
        <v>2</v>
      </c>
      <c r="B6" s="10" t="s">
        <v>38</v>
      </c>
      <c r="C6" s="14">
        <v>4.6899999999999997E-2</v>
      </c>
    </row>
    <row r="7" spans="1:3" x14ac:dyDescent="0.35">
      <c r="A7" s="6" t="s">
        <v>5</v>
      </c>
      <c r="B7" s="7" t="s">
        <v>39</v>
      </c>
      <c r="C7" s="13">
        <v>4.3799999999999999E-2</v>
      </c>
    </row>
    <row r="8" spans="1:3" x14ac:dyDescent="0.35">
      <c r="A8" s="6" t="s">
        <v>6</v>
      </c>
      <c r="B8" s="7" t="s">
        <v>40</v>
      </c>
      <c r="C8" s="13">
        <v>4.0099999999999997E-2</v>
      </c>
    </row>
    <row r="9" spans="1:3" x14ac:dyDescent="0.35">
      <c r="A9" s="6" t="s">
        <v>9</v>
      </c>
      <c r="B9" s="7" t="s">
        <v>43</v>
      </c>
      <c r="C9" s="13">
        <v>3.9800000000000002E-2</v>
      </c>
    </row>
    <row r="10" spans="1:3" x14ac:dyDescent="0.35">
      <c r="A10" s="6" t="s">
        <v>4</v>
      </c>
      <c r="B10" s="7" t="s">
        <v>45</v>
      </c>
      <c r="C10" s="13">
        <v>3.7400000000000003E-2</v>
      </c>
    </row>
    <row r="11" spans="1:3" x14ac:dyDescent="0.35">
      <c r="A11" s="6" t="s">
        <v>1</v>
      </c>
      <c r="B11" s="7" t="s">
        <v>44</v>
      </c>
      <c r="C11" s="13">
        <v>3.5400000000000001E-2</v>
      </c>
    </row>
    <row r="12" spans="1:3" x14ac:dyDescent="0.35">
      <c r="A12" s="6" t="s">
        <v>7</v>
      </c>
      <c r="B12" s="7" t="s">
        <v>47</v>
      </c>
      <c r="C12" s="13">
        <v>3.44E-2</v>
      </c>
    </row>
    <row r="13" spans="1:3" x14ac:dyDescent="0.35">
      <c r="A13" s="6" t="s">
        <v>0</v>
      </c>
      <c r="B13" s="7" t="s">
        <v>36</v>
      </c>
      <c r="C13" s="13">
        <v>2.1100000000000001E-2</v>
      </c>
    </row>
  </sheetData>
  <sortState xmlns:xlrd2="http://schemas.microsoft.com/office/spreadsheetml/2017/richdata2" ref="A4:C13">
    <sortCondition descending="1" ref="C4:C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1 - Payroll Trends</vt:lpstr>
      <vt:lpstr>2 - Payroll Indexed</vt:lpstr>
      <vt:lpstr>3 - 2024 Snapshot</vt:lpstr>
      <vt:lpstr>4 - Growth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Oliwier Ferenc</cp:lastModifiedBy>
  <dcterms:created xsi:type="dcterms:W3CDTF">2026-08-24T21:32:59Z</dcterms:created>
  <dcterms:modified xsi:type="dcterms:W3CDTF">2026-08-26T20:07:43Z</dcterms:modified>
</cp:coreProperties>
</file>